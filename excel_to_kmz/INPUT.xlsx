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V\Python\excel_to_kmz\"/>
    </mc:Choice>
  </mc:AlternateContent>
  <xr:revisionPtr revIDLastSave="0" documentId="8_{0ADBCDB9-3C2A-499A-AC36-953923522265}" xr6:coauthVersionLast="47" xr6:coauthVersionMax="47" xr10:uidLastSave="{00000000-0000-0000-0000-000000000000}"/>
  <bookViews>
    <workbookView xWindow="-110" yWindow="-110" windowWidth="25820" windowHeight="15500" xr2:uid="{D01A9571-5276-45A2-A838-A19A2811A4E2}"/>
  </bookViews>
  <sheets>
    <sheet name="Data Jembat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C31" i="1"/>
</calcChain>
</file>

<file path=xl/sharedStrings.xml><?xml version="1.0" encoding="utf-8"?>
<sst xmlns="http://schemas.openxmlformats.org/spreadsheetml/2006/main" count="67" uniqueCount="53">
  <si>
    <t>Prioritas Masing-masing Pemkab/Pemkot</t>
  </si>
  <si>
    <t>Nama Jembatan</t>
  </si>
  <si>
    <t>Sungai Tembesi Desa Desa Mandiangin Tuo (Jembatan Gantung)</t>
  </si>
  <si>
    <t>Sungai Tembesi Desa Desa Kertopati (Jembatan Gantung)</t>
  </si>
  <si>
    <t>Provins</t>
  </si>
  <si>
    <t>Jambi</t>
  </si>
  <si>
    <t>Kabupaten/Kota</t>
  </si>
  <si>
    <t>Kabupaten Sarolangun</t>
  </si>
  <si>
    <t>Status Jembatan (Kewenangan)</t>
  </si>
  <si>
    <t>Kecamatan</t>
  </si>
  <si>
    <t>Kec. Mandiangin</t>
  </si>
  <si>
    <t>Koordinat - Latitude</t>
  </si>
  <si>
    <t>Koordinat - Longitude</t>
  </si>
  <si>
    <t>Lebar Sungai (m)</t>
  </si>
  <si>
    <t>Indikasi Penanganan</t>
  </si>
  <si>
    <t>Pembangunan Baru</t>
  </si>
  <si>
    <t>Jembatan Eksisting (Apabila Ada) - Kondisi</t>
  </si>
  <si>
    <t>Jembatan Fungsional Kondisi Rusak</t>
  </si>
  <si>
    <t>Jembatan Eksisting (Apabila Ada) - Penggunaan Jembatan Eksisting</t>
  </si>
  <si>
    <t>Pejalan Kaki dan Roda 2</t>
  </si>
  <si>
    <t>Jembatan Eksisting (Apabila Ada) - Lebar Badan Jalan Jembatan Eksisting (m)</t>
  </si>
  <si>
    <t>Jembatan Eksisting (Apabila Ada) - Panjang Jembatan Eksisting (m)</t>
  </si>
  <si>
    <t>Indikasi Penggantian/Pembangunan Jembatan - Kebutuhan Penggunaan</t>
  </si>
  <si>
    <t>Indikasi Penggantian/Pembangunan Jembatan - Klasifikasi Masa Layan</t>
  </si>
  <si>
    <t>Permanen</t>
  </si>
  <si>
    <t xml:space="preserve">Indikasi Penggantian/Pembangunan Jembatan - Panjang Jembatan Baru (m) </t>
  </si>
  <si>
    <t>Indikasi Penggantian/Pembangunan Jembatan - Lebar Total Jembatan Baru (m)</t>
  </si>
  <si>
    <t>Indikasi Penggantian/Pembangunan Jembatan - Lebar Badan Jalan Jembatan Baru (m)</t>
  </si>
  <si>
    <t>Indikasi Penggantian/Pembangunan Jembatan - Tipe Bangunan Atas</t>
  </si>
  <si>
    <t>Jembatan Gantung</t>
  </si>
  <si>
    <t>Indikasi Penggantian/Pembangunan Jembatan - Estimasi Kebutuhan (Rp Ribu)</t>
  </si>
  <si>
    <t>Fasilitas yang Dihubungkan - Kecamatan/Desa 1 - Nama Kel/Desa</t>
  </si>
  <si>
    <t>DESA MANDIANGIN</t>
  </si>
  <si>
    <t>DESA KERTOPATI</t>
  </si>
  <si>
    <t>Fasilitas yang Dihubungkan - Kecamatan/Desa 1 - Jumlah KK</t>
  </si>
  <si>
    <t>Fasilitas yang Dihubungkan - Kecamatan/Desa 1  - Nama Sarana-Sarana Pendidikan (Sekolah, Madrasah, dsb)</t>
  </si>
  <si>
    <t>-</t>
  </si>
  <si>
    <t xml:space="preserve">SMPN 9 SAROLANGUN , SDN 09 VII MANDINGAIN </t>
  </si>
  <si>
    <t>SDN 99/VII KERTOPATI</t>
  </si>
  <si>
    <t>Fasilitas yang Dihubungkan - Kecamatan/Desa 1  - Nama Sarana-Sarana Publik (Puskesmas, RS, Pasar, dsb)</t>
  </si>
  <si>
    <t>PUSKESMAS MANDIANGIN</t>
  </si>
  <si>
    <t>Fasilitas yang Dihubungkan - Kecamatan/Desa 2 - Nama Kel/Desa</t>
  </si>
  <si>
    <t>DESA MANDIANGIN TUO</t>
  </si>
  <si>
    <t>Fasilitas yang Dihubungkan - Kecamatan/Desa 2 - Jumlah KK</t>
  </si>
  <si>
    <t>Fasilitas yang Dihubungkan - Kecamatan/Desa 2 - Nama Sarana-Sarana Pendidikan (Sekolah, Madrasah, dsb)</t>
  </si>
  <si>
    <t>SDN 32 MANDIANGIN TUO</t>
  </si>
  <si>
    <t>Fasilitas yang Dihubungkan - Kecamatan/Desa 2 - Nama Sarana-Sarana Publik (Puskesmas, RS, Pasar, dsb)</t>
  </si>
  <si>
    <t>PUSKESMAS PEMBANTU MANDIANGIN TUO</t>
  </si>
  <si>
    <t>KANTOR DESA KERTOPATI</t>
  </si>
  <si>
    <t>Layak Dibangun</t>
  </si>
  <si>
    <t>Progres Isian</t>
  </si>
  <si>
    <t>Catatan Desk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</si>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</sst>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(0\)"/>
    <numFmt numFmtId="165" formatCode="0.0000000"/>
  </numFmts>
  <fonts count="5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2"/>
      <name val="Arial"/>
      <family val="2"/>
    </font>
    <font>
      <sz val="10"/>
      <color theme="2"/>
      <name val="Arial"/>
      <family val="2"/>
      <scheme val="minor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0" fontId="3" fillId="2" borderId="0" xfId="0" applyFont="1" applyFill="1"/>
    <xf numFmtId="0" fontId="4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5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3" fontId="4" fillId="0" borderId="1" xfId="0" applyNumberFormat="1" applyFont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/>
    </xf>
    <xf numFmtId="0" fontId="3" fillId="4" borderId="0" xfId="0" applyFont="1" applyFill="1"/>
    <xf numFmtId="4" fontId="4" fillId="0" borderId="1" xfId="0" applyNumberFormat="1" applyFont="1" applyBorder="1" applyAlignment="1">
      <alignment horizontal="center" vertical="center" wrapText="1"/>
    </xf>
    <xf numFmtId="0" fontId="3" fillId="5" borderId="0" xfId="0" applyFont="1" applyFill="1"/>
    <xf numFmtId="3" fontId="4" fillId="0" borderId="2" xfId="0" applyNumberFormat="1" applyFont="1" applyBorder="1" applyAlignment="1">
      <alignment horizontal="center" vertical="center" wrapText="1"/>
    </xf>
    <xf numFmtId="0" fontId="3" fillId="6" borderId="0" xfId="0" applyFont="1" applyFill="1"/>
    <xf numFmtId="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164" fontId="2" fillId="5" borderId="0" xfId="0" applyNumberFormat="1" applyFont="1" applyFill="1" applyAlignment="1">
      <alignment horizontal="center" vertical="center"/>
    </xf>
    <xf numFmtId="164" fontId="2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B26C-0596-46D0-9D5E-0713B2CFAF39}">
  <dimension ref="A1:J45"/>
  <sheetViews>
    <sheetView tabSelected="1" zoomScale="70" zoomScaleNormal="70" workbookViewId="0">
      <selection activeCell="B54" sqref="B54"/>
    </sheetView>
  </sheetViews>
  <sheetFormatPr defaultRowHeight="12.5" x14ac:dyDescent="0.25"/>
  <cols>
    <col min="1" max="1" width="5.36328125" bestFit="1" customWidth="1"/>
    <col min="2" max="2" width="99.453125" bestFit="1" customWidth="1"/>
    <col min="3" max="3" width="79.1796875" bestFit="1" customWidth="1"/>
    <col min="4" max="4" width="74.54296875" bestFit="1" customWidth="1"/>
    <col min="5" max="5" width="73.90625" bestFit="1" customWidth="1"/>
    <col min="6" max="6" width="122.36328125" customWidth="1"/>
    <col min="7" max="7" width="86.36328125" bestFit="1" customWidth="1"/>
    <col min="8" max="8" width="43.08984375" bestFit="1" customWidth="1"/>
    <col min="9" max="9" width="105.7265625" bestFit="1" customWidth="1"/>
    <col min="10" max="10" width="56.453125" customWidth="1"/>
    <col min="11" max="11" width="83.453125" bestFit="1" customWidth="1"/>
    <col min="12" max="12" width="68" bestFit="1" customWidth="1"/>
    <col min="13" max="13" width="80.453125" bestFit="1" customWidth="1"/>
    <col min="14" max="14" width="85.7265625" bestFit="1" customWidth="1"/>
    <col min="15" max="15" width="79.36328125" bestFit="1" customWidth="1"/>
    <col min="16" max="16" width="81.08984375" bestFit="1" customWidth="1"/>
    <col min="17" max="17" width="92.36328125" bestFit="1" customWidth="1"/>
    <col min="18" max="18" width="90.54296875" bestFit="1" customWidth="1"/>
    <col min="19" max="19" width="82.08984375" bestFit="1" customWidth="1"/>
    <col min="20" max="20" width="81.08984375" bestFit="1" customWidth="1"/>
    <col min="21" max="21" width="37" bestFit="1" customWidth="1"/>
    <col min="22" max="22" width="37.26953125" bestFit="1" customWidth="1"/>
    <col min="23" max="23" width="60.26953125" bestFit="1" customWidth="1"/>
    <col min="24" max="24" width="53.1796875" bestFit="1" customWidth="1"/>
  </cols>
  <sheetData>
    <row r="1" spans="1:4" ht="13" x14ac:dyDescent="0.25">
      <c r="A1" s="1">
        <v>1</v>
      </c>
      <c r="B1" s="2" t="s">
        <v>0</v>
      </c>
      <c r="C1" s="3"/>
      <c r="D1" s="3"/>
    </row>
    <row r="2" spans="1:4" ht="13" x14ac:dyDescent="0.25">
      <c r="A2" s="1">
        <v>2</v>
      </c>
      <c r="B2" s="2" t="s">
        <v>1</v>
      </c>
      <c r="C2" s="3" t="s">
        <v>2</v>
      </c>
      <c r="D2" s="3" t="s">
        <v>3</v>
      </c>
    </row>
    <row r="3" spans="1:4" ht="13" x14ac:dyDescent="0.25">
      <c r="A3" s="1">
        <v>3</v>
      </c>
      <c r="B3" s="2" t="s">
        <v>4</v>
      </c>
      <c r="C3" s="3" t="s">
        <v>5</v>
      </c>
      <c r="D3" s="3" t="s">
        <v>5</v>
      </c>
    </row>
    <row r="4" spans="1:4" ht="13" x14ac:dyDescent="0.25">
      <c r="A4" s="1">
        <v>4</v>
      </c>
      <c r="B4" s="2" t="s">
        <v>6</v>
      </c>
      <c r="C4" s="3" t="s">
        <v>7</v>
      </c>
      <c r="D4" s="3" t="s">
        <v>7</v>
      </c>
    </row>
    <row r="5" spans="1:4" ht="13" x14ac:dyDescent="0.25">
      <c r="A5" s="1">
        <v>5</v>
      </c>
      <c r="B5" s="4" t="s">
        <v>8</v>
      </c>
      <c r="C5" s="3" t="s">
        <v>7</v>
      </c>
      <c r="D5" s="3" t="s">
        <v>7</v>
      </c>
    </row>
    <row r="6" spans="1:4" ht="13" x14ac:dyDescent="0.25">
      <c r="A6" s="1">
        <v>6</v>
      </c>
      <c r="B6" s="2" t="s">
        <v>9</v>
      </c>
      <c r="C6" s="3" t="s">
        <v>10</v>
      </c>
      <c r="D6" s="3" t="s">
        <v>10</v>
      </c>
    </row>
    <row r="7" spans="1:4" ht="13" x14ac:dyDescent="0.25">
      <c r="A7" s="1">
        <v>7</v>
      </c>
      <c r="B7" s="2" t="s">
        <v>11</v>
      </c>
      <c r="C7" s="5">
        <v>-2.0308389999999998</v>
      </c>
      <c r="D7" s="5">
        <v>-1.986729</v>
      </c>
    </row>
    <row r="8" spans="1:4" ht="13" x14ac:dyDescent="0.25">
      <c r="A8" s="1">
        <v>8</v>
      </c>
      <c r="B8" s="2" t="s">
        <v>12</v>
      </c>
      <c r="C8" s="5">
        <v>102.963549</v>
      </c>
      <c r="D8" s="5">
        <v>102.967825</v>
      </c>
    </row>
    <row r="9" spans="1:4" ht="13" x14ac:dyDescent="0.25">
      <c r="A9" s="1">
        <v>9</v>
      </c>
      <c r="B9" s="2" t="s">
        <v>13</v>
      </c>
      <c r="C9" s="6">
        <v>150</v>
      </c>
      <c r="D9" s="6">
        <v>155</v>
      </c>
    </row>
    <row r="10" spans="1:4" ht="13" x14ac:dyDescent="0.25">
      <c r="A10" s="1">
        <v>10</v>
      </c>
      <c r="B10" s="2" t="s">
        <v>14</v>
      </c>
      <c r="C10" s="3" t="s">
        <v>15</v>
      </c>
      <c r="D10" s="3" t="s">
        <v>15</v>
      </c>
    </row>
    <row r="11" spans="1:4" ht="13" x14ac:dyDescent="0.25">
      <c r="A11" s="1">
        <v>11</v>
      </c>
      <c r="B11" s="2" t="s">
        <v>16</v>
      </c>
      <c r="C11" s="3" t="s">
        <v>17</v>
      </c>
      <c r="D11" s="3" t="s">
        <v>17</v>
      </c>
    </row>
    <row r="12" spans="1:4" ht="13" x14ac:dyDescent="0.25">
      <c r="A12" s="1">
        <v>12</v>
      </c>
      <c r="B12" s="2" t="s">
        <v>18</v>
      </c>
      <c r="C12" s="3" t="s">
        <v>19</v>
      </c>
      <c r="D12" s="3" t="s">
        <v>19</v>
      </c>
    </row>
    <row r="13" spans="1:4" ht="13" x14ac:dyDescent="0.25">
      <c r="A13" s="1">
        <v>13</v>
      </c>
      <c r="B13" s="2" t="s">
        <v>20</v>
      </c>
      <c r="C13" s="6">
        <v>2</v>
      </c>
      <c r="D13" s="6">
        <v>2</v>
      </c>
    </row>
    <row r="14" spans="1:4" ht="13" x14ac:dyDescent="0.25">
      <c r="A14" s="1">
        <v>14</v>
      </c>
      <c r="B14" s="2" t="s">
        <v>21</v>
      </c>
      <c r="C14" s="6">
        <v>180</v>
      </c>
      <c r="D14" s="6">
        <v>190</v>
      </c>
    </row>
    <row r="15" spans="1:4" ht="13" x14ac:dyDescent="0.25">
      <c r="A15" s="7">
        <v>15</v>
      </c>
      <c r="B15" s="8" t="s">
        <v>22</v>
      </c>
      <c r="C15" s="3" t="s">
        <v>19</v>
      </c>
      <c r="D15" s="3" t="s">
        <v>19</v>
      </c>
    </row>
    <row r="16" spans="1:4" ht="13" x14ac:dyDescent="0.25">
      <c r="A16" s="7">
        <v>16</v>
      </c>
      <c r="B16" s="8" t="s">
        <v>23</v>
      </c>
      <c r="C16" s="3" t="s">
        <v>24</v>
      </c>
      <c r="D16" s="3" t="s">
        <v>24</v>
      </c>
    </row>
    <row r="17" spans="1:4" ht="13" x14ac:dyDescent="0.25">
      <c r="A17" s="7">
        <v>17</v>
      </c>
      <c r="B17" s="8" t="s">
        <v>25</v>
      </c>
      <c r="C17" s="6">
        <v>180</v>
      </c>
      <c r="D17" s="6">
        <v>190</v>
      </c>
    </row>
    <row r="18" spans="1:4" ht="13" x14ac:dyDescent="0.25">
      <c r="A18" s="7">
        <v>18</v>
      </c>
      <c r="B18" s="8" t="s">
        <v>26</v>
      </c>
      <c r="C18" s="6">
        <v>2</v>
      </c>
      <c r="D18" s="6">
        <v>2</v>
      </c>
    </row>
    <row r="19" spans="1:4" ht="13" x14ac:dyDescent="0.25">
      <c r="A19" s="7">
        <v>19</v>
      </c>
      <c r="B19" s="8" t="s">
        <v>27</v>
      </c>
      <c r="C19" s="6">
        <v>3</v>
      </c>
      <c r="D19" s="6">
        <v>3</v>
      </c>
    </row>
    <row r="20" spans="1:4" ht="13" x14ac:dyDescent="0.25">
      <c r="A20" s="7">
        <v>20</v>
      </c>
      <c r="B20" s="8" t="s">
        <v>28</v>
      </c>
      <c r="C20" s="3" t="s">
        <v>29</v>
      </c>
      <c r="D20" s="3" t="s">
        <v>29</v>
      </c>
    </row>
    <row r="21" spans="1:4" ht="13" x14ac:dyDescent="0.25">
      <c r="A21" s="7">
        <v>21</v>
      </c>
      <c r="B21" s="9" t="s">
        <v>30</v>
      </c>
      <c r="C21" s="10">
        <v>1000000000</v>
      </c>
      <c r="D21" s="10">
        <v>1000000000</v>
      </c>
    </row>
    <row r="22" spans="1:4" ht="13" x14ac:dyDescent="0.25">
      <c r="A22" s="11">
        <v>22</v>
      </c>
      <c r="B22" s="12" t="s">
        <v>31</v>
      </c>
      <c r="C22" s="10" t="s">
        <v>32</v>
      </c>
      <c r="D22" s="10" t="s">
        <v>33</v>
      </c>
    </row>
    <row r="23" spans="1:4" ht="13" x14ac:dyDescent="0.25">
      <c r="A23" s="11">
        <v>23</v>
      </c>
      <c r="B23" s="12" t="s">
        <v>34</v>
      </c>
      <c r="C23" s="13">
        <v>816</v>
      </c>
      <c r="D23" s="13">
        <v>455</v>
      </c>
    </row>
    <row r="24" spans="1:4" ht="13" x14ac:dyDescent="0.25">
      <c r="A24" s="11">
        <v>24</v>
      </c>
      <c r="B24" s="12" t="s">
        <v>35</v>
      </c>
      <c r="C24" s="10" t="s">
        <v>37</v>
      </c>
      <c r="D24" s="10" t="s">
        <v>38</v>
      </c>
    </row>
    <row r="25" spans="1:4" ht="13" x14ac:dyDescent="0.25">
      <c r="A25" s="11">
        <v>25</v>
      </c>
      <c r="B25" s="12" t="s">
        <v>39</v>
      </c>
      <c r="C25" s="10" t="s">
        <v>40</v>
      </c>
      <c r="D25" s="10" t="s">
        <v>36</v>
      </c>
    </row>
    <row r="26" spans="1:4" ht="13" x14ac:dyDescent="0.25">
      <c r="A26" s="11">
        <v>26</v>
      </c>
      <c r="B26" s="12" t="s">
        <v>41</v>
      </c>
      <c r="C26" s="10" t="s">
        <v>42</v>
      </c>
      <c r="D26" s="10" t="s">
        <v>33</v>
      </c>
    </row>
    <row r="27" spans="1:4" ht="13" x14ac:dyDescent="0.25">
      <c r="A27" s="11">
        <v>27</v>
      </c>
      <c r="B27" s="12" t="s">
        <v>43</v>
      </c>
      <c r="C27" s="13">
        <v>239</v>
      </c>
      <c r="D27" s="13">
        <v>455</v>
      </c>
    </row>
    <row r="28" spans="1:4" ht="13" x14ac:dyDescent="0.25">
      <c r="A28" s="11">
        <v>28</v>
      </c>
      <c r="B28" s="12" t="s">
        <v>44</v>
      </c>
      <c r="C28" s="10" t="s">
        <v>45</v>
      </c>
      <c r="D28" s="10" t="s">
        <v>36</v>
      </c>
    </row>
    <row r="29" spans="1:4" ht="13" x14ac:dyDescent="0.25">
      <c r="A29" s="11">
        <v>29</v>
      </c>
      <c r="B29" s="12" t="s">
        <v>46</v>
      </c>
      <c r="C29" s="10" t="s">
        <v>47</v>
      </c>
      <c r="D29" s="10" t="s">
        <v>48</v>
      </c>
    </row>
    <row r="30" spans="1:4" ht="13" x14ac:dyDescent="0.25">
      <c r="A30" s="20">
        <v>30</v>
      </c>
      <c r="B30" s="14" t="s">
        <v>49</v>
      </c>
      <c r="C30" s="15"/>
      <c r="D30" s="15"/>
    </row>
    <row r="31" spans="1:4" ht="13" x14ac:dyDescent="0.25">
      <c r="A31" s="21">
        <v>31</v>
      </c>
      <c r="B31" s="16" t="s">
        <v>50</v>
      </c>
      <c r="C31" s="17">
        <f t="shared" ref="C31:D31" si="0">COUNTIF(C5:C29,"&lt;&gt;")/25</f>
        <v>1</v>
      </c>
      <c r="D31" s="17">
        <f t="shared" si="0"/>
        <v>1</v>
      </c>
    </row>
    <row r="32" spans="1:4" ht="13" x14ac:dyDescent="0.25">
      <c r="A32" s="20">
        <v>32</v>
      </c>
      <c r="B32" s="14" t="s">
        <v>51</v>
      </c>
      <c r="C32" s="18"/>
      <c r="D32" s="18"/>
    </row>
    <row r="45" spans="10:10" x14ac:dyDescent="0.25">
      <c r="J45" s="19" t="s">
        <v>52</v>
      </c>
    </row>
  </sheetData>
  <conditionalFormatting sqref="C1:D31">
    <cfRule type="containsBlanks" dxfId="4" priority="1">
      <formula>LEN(TRIM(C1))=0</formula>
    </cfRule>
  </conditionalFormatting>
  <conditionalFormatting sqref="C7:D7">
    <cfRule type="expression" dxfId="3" priority="4">
      <formula>AND(C7&lt;&gt;"",OR(C7&lt;-11.01,C7&gt;6.075))</formula>
    </cfRule>
  </conditionalFormatting>
  <conditionalFormatting sqref="C7:D8">
    <cfRule type="expression" dxfId="2" priority="3">
      <formula>AND(C7&lt;&gt;"",ISNUMBER(C7)=FALSE)</formula>
    </cfRule>
  </conditionalFormatting>
  <conditionalFormatting sqref="C8:D8">
    <cfRule type="expression" dxfId="1" priority="5">
      <formula>AND(C8&lt;&gt;"",OR(C8&lt;94.9725,C8&gt;141.019444))</formula>
    </cfRule>
  </conditionalFormatting>
  <conditionalFormatting sqref="C4:D4">
    <cfRule type="expression" dxfId="0" priority="8">
      <formula>AND(#REF!&lt;&gt;"",C4&lt;&gt;"",COUNTIFS(INDIRECT("List!A:A"),#REF!,INDIRECT("List!B:B"),C4)&lt;1)</formula>
    </cfRule>
  </conditionalFormatting>
  <dataValidations count="5">
    <dataValidation type="list" allowBlank="1" showErrorMessage="1" sqref="C10:D10" xr:uid="{D6B4BBBD-A30A-4391-936D-1EA9A607AB80}">
      <formula1>"Penggantian Jembatan,Pembangunan Baru"</formula1>
    </dataValidation>
    <dataValidation type="list" allowBlank="1" showErrorMessage="1" sqref="C11:D11" xr:uid="{FA0A59F4-8DBC-4F37-827F-FFC7EEAA551C}">
      <formula1>"Jembatan Sudah Runtuh,Jembatan Fungsional Kondisi Rusak"</formula1>
    </dataValidation>
    <dataValidation type="list" allowBlank="1" showErrorMessage="1" sqref="C16:D16" xr:uid="{AD7AC399-368A-4DD9-A39E-ACB78C63EB77}">
      <formula1>"Perintis,Semipermanen,Permanen"</formula1>
    </dataValidation>
    <dataValidation type="list" allowBlank="1" showErrorMessage="1" sqref="C12:D12 C15:D15" xr:uid="{E22B0E1F-F68F-4F79-8277-840C7B18EDF1}">
      <formula1>"Hanya Pejalan Kaki,Pejalan Kaki dan Roda 2,Roda 4"</formula1>
    </dataValidation>
    <dataValidation type="list" allowBlank="1" showErrorMessage="1" sqref="C30:D30" xr:uid="{9E9E90FA-893D-40BD-85B4-B8A4AC6B5842}">
      <formula1>"Layak,Tidak Layak"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Jembatan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Syathir Mahfud</dc:creator>
  <cp:lastModifiedBy>Muhammad Syathir Mahfud</cp:lastModifiedBy>
  <dcterms:created xsi:type="dcterms:W3CDTF">2026-01-23T00:28:25Z</dcterms:created>
  <dcterms:modified xsi:type="dcterms:W3CDTF">2026-02-05T13:32:38Z</dcterms:modified>
</cp:coreProperties>
</file>